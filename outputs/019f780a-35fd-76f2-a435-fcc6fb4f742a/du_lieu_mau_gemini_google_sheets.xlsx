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420b4ef4cc40d3" /></Relationships>
</file>

<file path=xl/workbook.xml><?xml version="1.0" encoding="utf-8"?>
<x:workbook xmlns:x="http://schemas.openxmlformats.org/spreadsheetml/2006/main">
  <x:sheets>
    <x:sheet xmlns:r="http://schemas.openxmlformats.org/officeDocument/2006/relationships" name="Dữ liệu lỗi" sheetId="1" r:id="Rf401b40b5a974fdc"/>
    <x:sheet xmlns:r="http://schemas.openxmlformats.org/officeDocument/2006/relationships" name="Hướng dẫn demo" sheetId="2" r:id="Rcb3701f5b7834ea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quot;VND&quot;"/>
  </x:numFmts>
  <x:fonts count="8">
    <x:font>
      <x:sz val="11"/>
      <x:name val="Carlito"/>
    </x:font>
    <x:font>
      <x:b/>
      <x:sz val="11"/>
      <x:color rgb="FFFFFFFF"/>
      <x:name val="Carlito"/>
    </x:font>
    <x:font>
      <x:sz val="10"/>
      <x:color rgb="FF1F2937"/>
      <x:name val="Carlito"/>
    </x:font>
    <x:font>
      <x:b/>
      <x:sz val="16"/>
      <x:color rgb="FFFFFFFF"/>
      <x:name val="Carlito"/>
    </x:font>
    <x:font>
      <x:b/>
      <x:sz val="12"/>
      <x:color rgb="FF17365D"/>
      <x:name val="Carlito"/>
    </x:font>
    <x:font>
      <x:sz val="11"/>
      <x:color rgb="FF1F2937"/>
      <x:name val="Carlito"/>
    </x:font>
    <x:font>
      <x:b/>
      <x:sz val="11"/>
      <x:color rgb="FF17365D"/>
      <x:name val="Carlito"/>
    </x:font>
    <x:font>
      <x:b/>
      <x:sz val="11"/>
      <x:color rgb="FF375623"/>
      <x:name val="Carlito"/>
    </x:font>
  </x:fonts>
  <x:fills count="10">
    <x:fill>
      <x:patternFill patternType="none"/>
    </x:fill>
    <x:fill>
      <x:patternFill patternType="gray125"/>
    </x:fill>
    <x:fill>
      <x:patternFill patternType="solid">
        <x:fgColor rgb="FF1F4E78"/>
      </x:patternFill>
    </x:fill>
    <x:fill>
      <x:patternFill patternType="solid">
        <x:fgColor rgb="FFF4F8FC"/>
      </x:patternFill>
    </x:fill>
    <x:fill>
      <x:patternFill patternType="solid">
        <x:fgColor rgb="FFFFF8E7"/>
      </x:patternFill>
    </x:fill>
    <x:fill>
      <x:patternFill patternType="solid">
        <x:fgColor rgb="FFD9EAF7"/>
      </x:patternFill>
    </x:fill>
    <x:fill>
      <x:patternFill patternType="solid">
        <x:fgColor rgb="FFF7FBFF"/>
      </x:patternFill>
    </x:fill>
    <x:fill>
      <x:patternFill patternType="solid">
        <x:fgColor rgb="FF2F75B5"/>
      </x:patternFill>
    </x:fill>
    <x:fill>
      <x:patternFill patternType="solid">
        <x:fgColor rgb="FFEAF2F8"/>
      </x:patternFill>
    </x:fill>
    <x:fill>
      <x:patternFill patternType="solid">
        <x:fgColor rgb="FFE2F0D9"/>
      </x:patternFill>
    </x:fill>
  </x:fills>
  <x:borders count="18">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bottom style="thin">
        <x:color rgb="FFDCE6F1"/>
      </x:bottom>
    </x:border>
    <x:border>
      <x:top style="thin">
        <x:color rgb="FFDCE6F1"/>
      </x:top>
      <x:bottom style="thin">
        <x:color rgb="FFDCE6F1"/>
      </x:bottom>
    </x:border>
    <x:border>
      <x:top style="thin">
        <x:color rgb="FFDCE6F1"/>
      </x:top>
      <x:bottom style="thin">
        <x:color rgb="FFA6B8C9"/>
      </x:bottom>
    </x:border>
    <x:border>
      <x:left style="thin">
        <x:color rgb="FF9FBAD0"/>
      </x:left>
      <x:top style="thin">
        <x:color rgb="FF9FBAD0"/>
      </x:top>
    </x:border>
    <x:border>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bottom style="thin">
        <x:color rgb="FF9FBAD0"/>
      </x:bottom>
    </x:border>
    <x:border>
      <x:right style="thin">
        <x:color rgb="FF9FBAD0"/>
      </x:right>
      <x:bottom style="thin">
        <x:color rgb="FF9FBAD0"/>
      </x:bottom>
    </x:border>
    <x:border>
      <x:left style="thin">
        <x:color rgb="FFB7C9D6"/>
      </x:left>
      <x:right style="thin">
        <x:color rgb="FFB7C9D6"/>
      </x:right>
      <x:top style="thin">
        <x:color rgb="FFB7C9D6"/>
      </x:top>
      <x:bottom style="thin">
        <x:color rgb="FFB7C9D6"/>
      </x:bottom>
    </x:border>
    <x:border>
      <x:left style="thin">
        <x:color rgb="FFD6E1EA"/>
      </x:left>
      <x:right style="thin">
        <x:color rgb="FFD6E1EA"/>
      </x:right>
      <x:top style="thin">
        <x:color rgb="FFD6E1EA"/>
      </x:top>
      <x:bottom style="thin">
        <x:color rgb="FFD6E1EA"/>
      </x:bottom>
    </x:border>
    <x:border>
      <x:left style="thin">
        <x:color rgb="FFA9D18E"/>
      </x:left>
      <x:right style="thin">
        <x:color rgb="FFA9D18E"/>
      </x:right>
      <x:top style="thin">
        <x:color rgb="FFA9D18E"/>
      </x:top>
      <x:bottom style="thin">
        <x:color rgb="FFA9D18E"/>
      </x:bottom>
    </x:border>
  </x:borders>
  <x:cellStyleXfs count="1">
    <x:xf numFmtId="0" fontId="0" fillId="0" borderId="0"/>
  </x:cellStyleXfs>
  <x:cellXfs count="1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3" borderId="5" xfId="0" applyNumberFormat="1" applyFont="1" applyFill="1" applyBorder="1" applyAlignment="1">
      <x:alignment vertical="center"/>
    </x:xf>
    <x:xf numFmtId="0" fontId="2" fillId="3" borderId="6" xfId="0" applyNumberFormat="1" applyFont="1" applyFill="1" applyBorder="1" applyAlignment="1">
      <x:alignment vertical="center"/>
    </x:xf>
    <x:xf numFmtId="0" fontId="2" fillId="4" borderId="4" xfId="0" applyNumberFormat="1" applyFont="1" applyFill="1" applyBorder="1" applyAlignment="1">
      <x:alignment vertical="center"/>
    </x:xf>
    <x:xf numFmtId="0" fontId="2" fillId="4" borderId="5" xfId="0" applyNumberFormat="1" applyFont="1" applyFill="1" applyBorder="1" applyAlignment="1">
      <x:alignment vertical="center"/>
    </x:xf>
    <x:xf numFmtId="0" fontId="2" fillId="4" borderId="6" xfId="0" applyNumberFormat="1" applyFont="1" applyFill="1" applyBorder="1" applyAlignment="1">
      <x:alignment vertical="center"/>
    </x:xf>
    <x:xf numFmtId="200" fontId="2" fillId="4" borderId="4" xfId="0" applyNumberFormat="1" applyFont="1" applyFill="1" applyBorder="1" applyAlignment="1">
      <x:alignment vertical="center"/>
    </x:xf>
    <x:xf numFmtId="200" fontId="2" fillId="4" borderId="5" xfId="0" applyNumberFormat="1" applyFont="1" applyFill="1" applyBorder="1" applyAlignment="1">
      <x:alignment vertical="center"/>
    </x:xf>
    <x:xf numFmtId="200" fontId="2" fillId="4" borderId="6" xfId="0" applyNumberFormat="1" applyFont="1" applyFill="1" applyBorder="1" applyAlignment="1">
      <x:alignment vertical="center"/>
    </x:xf>
    <x:xf numFmtId="201" fontId="2" fillId="0" borderId="4" xfId="0" applyNumberFormat="1" applyFont="1" applyFill="1" applyBorder="1" applyAlignment="1">
      <x:alignment vertical="center"/>
    </x:xf>
    <x:xf numFmtId="201" fontId="2" fillId="3" borderId="5" xfId="0" applyNumberFormat="1" applyFont="1" applyFill="1" applyBorder="1" applyAlignment="1">
      <x:alignment vertical="center"/>
    </x:xf>
    <x:xf numFmtId="201" fontId="2" fillId="0" borderId="5" xfId="0" applyNumberFormat="1" applyFont="1" applyFill="1" applyBorder="1" applyAlignment="1">
      <x:alignment vertical="center"/>
    </x:xf>
    <x:xf numFmtId="201" fontId="2" fillId="3" borderId="6" xfId="0" applyNumberFormat="1" applyFont="1" applyFill="1" applyBorder="1" applyAlignment="1">
      <x:alignment vertical="center"/>
    </x:xf>
    <x:xf numFmtId="201" fontId="2" fillId="0" borderId="4" xfId="0" applyNumberFormat="1" applyFont="1" applyFill="1" applyBorder="1" applyAlignment="1">
      <x:alignment horizontal="right" vertical="center"/>
    </x:xf>
    <x:xf numFmtId="201" fontId="2" fillId="3" borderId="5" xfId="0" applyNumberFormat="1" applyFont="1" applyFill="1" applyBorder="1" applyAlignment="1">
      <x:alignment horizontal="right" vertical="center"/>
    </x:xf>
    <x:xf numFmtId="201" fontId="2" fillId="0" borderId="5" xfId="0" applyNumberFormat="1" applyFont="1" applyFill="1" applyBorder="1" applyAlignment="1">
      <x:alignment horizontal="right" vertical="center"/>
    </x:xf>
    <x:xf numFmtId="201" fontId="2" fillId="3" borderId="6" xfId="0" applyNumberFormat="1" applyFont="1" applyFill="1" applyBorder="1" applyAlignment="1">
      <x:alignment horizontal="right" vertical="center"/>
    </x:xf>
    <x:xf numFmtId="0" fontId="2" fillId="4" borderId="4" xfId="0" applyNumberFormat="1" applyFont="1" applyFill="1" applyBorder="1" applyAlignment="1">
      <x:alignment horizontal="left" vertical="center"/>
    </x:xf>
    <x:xf numFmtId="200" fontId="2" fillId="4" borderId="4" xfId="0" applyNumberFormat="1" applyFont="1" applyFill="1" applyBorder="1" applyAlignment="1">
      <x:alignment horizontal="left" vertical="center"/>
    </x:xf>
    <x:xf numFmtId="0" fontId="2" fillId="0" borderId="4" xfId="0" applyNumberFormat="1" applyFont="1" applyFill="1" applyBorder="1" applyAlignment="1">
      <x:alignment horizontal="left" vertical="center"/>
    </x:xf>
    <x:xf numFmtId="0" fontId="2" fillId="4" borderId="5" xfId="0" applyNumberFormat="1" applyFont="1" applyFill="1" applyBorder="1" applyAlignment="1">
      <x:alignment horizontal="left" vertical="center"/>
    </x:xf>
    <x:xf numFmtId="200" fontId="2" fillId="4" borderId="5" xfId="0" applyNumberFormat="1" applyFont="1" applyFill="1" applyBorder="1" applyAlignment="1">
      <x:alignment horizontal="left" vertical="center"/>
    </x:xf>
    <x:xf numFmtId="0" fontId="2" fillId="3" borderId="5" xfId="0" applyNumberFormat="1" applyFont="1" applyFill="1" applyBorder="1" applyAlignment="1">
      <x:alignment horizontal="left" vertical="center"/>
    </x:xf>
    <x:xf numFmtId="0" fontId="2" fillId="0" borderId="5" xfId="0" applyNumberFormat="1" applyFont="1" applyFill="1" applyBorder="1" applyAlignment="1">
      <x:alignment horizontal="left" vertical="center"/>
    </x:xf>
    <x:xf numFmtId="0" fontId="2" fillId="4" borderId="6" xfId="0" applyNumberFormat="1" applyFont="1" applyFill="1" applyBorder="1" applyAlignment="1">
      <x:alignment horizontal="left" vertical="center"/>
    </x:xf>
    <x:xf numFmtId="200" fontId="2" fillId="4" borderId="6" xfId="0" applyNumberFormat="1" applyFont="1" applyFill="1" applyBorder="1" applyAlignment="1">
      <x:alignment horizontal="left" vertical="center"/>
    </x:xf>
    <x:xf numFmtId="0" fontId="2" fillId="3" borderId="6" xfId="0" applyNumberFormat="1" applyFont="1" applyFill="1" applyBorder="1" applyAlignment="1">
      <x:alignment horizontal="left" vertical="center"/>
    </x:xf>
    <x:xf numFmtId="0" fontId="2" fillId="0" borderId="4" xfId="0" applyNumberFormat="1" applyFont="1" applyFill="1" applyBorder="1" applyAlignment="1">
      <x:alignment horizontal="left" vertical="center" wrapText="1"/>
    </x:xf>
    <x:xf numFmtId="0" fontId="2" fillId="3" borderId="5" xfId="0" applyNumberFormat="1" applyFont="1" applyFill="1" applyBorder="1" applyAlignment="1">
      <x:alignment horizontal="left" vertical="center" wrapText="1"/>
    </x:xf>
    <x:xf numFmtId="0" fontId="2" fillId="0" borderId="5" xfId="0" applyNumberFormat="1" applyFont="1" applyFill="1" applyBorder="1" applyAlignment="1">
      <x:alignment horizontal="left" vertical="center" wrapText="1"/>
    </x:xf>
    <x:xf numFmtId="0" fontId="2" fillId="3" borderId="6" xfId="0" applyNumberFormat="1" applyFont="1" applyFill="1" applyBorder="1" applyAlignment="1">
      <x:alignment horizontal="left"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0" fontId="5" fillId="6" borderId="12"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1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11" xfId="0" applyNumberFormat="1" applyFont="1" applyFill="1" applyBorder="1" applyAlignment="1">
      <x:alignment wrapText="1"/>
    </x:xf>
    <x:xf numFmtId="0" fontId="5" fillId="6" borderId="12" xfId="0" applyNumberFormat="1" applyFont="1" applyFill="1" applyBorder="1" applyAlignment="1">
      <x:alignment wrapText="1"/>
    </x:xf>
    <x:xf numFmtId="0" fontId="5" fillId="6" borderId="13" xfId="0" applyNumberFormat="1" applyFont="1" applyFill="1" applyBorder="1" applyAlignment="1">
      <x:alignment wrapText="1"/>
    </x:xf>
    <x:xf numFmtId="0" fontId="5" fillId="6" borderId="14" xfId="0" applyNumberFormat="1" applyFont="1" applyFill="1" applyBorder="1" applyAlignment="1">
      <x:alignment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5" fillId="6" borderId="1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11" xfId="0" applyNumberFormat="1" applyFont="1" applyFill="1" applyBorder="1" applyAlignment="1">
      <x:alignment vertical="center" wrapText="1"/>
    </x:xf>
    <x:xf numFmtId="0" fontId="5" fillId="6" borderId="12" xfId="0" applyNumberFormat="1" applyFont="1" applyFill="1" applyBorder="1" applyAlignment="1">
      <x:alignment vertical="center" wrapText="1"/>
    </x:xf>
    <x:xf numFmtId="0" fontId="5" fillId="6" borderId="13" xfId="0" applyNumberFormat="1" applyFont="1" applyFill="1" applyBorder="1" applyAlignment="1">
      <x:alignment vertical="center" wrapText="1"/>
    </x:xf>
    <x:xf numFmtId="0" fontId="5" fillId="6" borderId="14"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6" fillId="8" borderId="15" xfId="0" applyNumberFormat="1" applyFont="1" applyFill="1" applyBorder="1"/>
    <x:xf numFmtId="0" fontId="0" fillId="0" borderId="16" xfId="0" applyNumberFormat="1" applyFont="1" applyFill="1" applyBorder="1"/>
    <x:xf numFmtId="0" fontId="0" fillId="9" borderId="16" xfId="0" applyNumberFormat="1" applyFont="1" applyFill="1" applyBorder="1"/>
    <x:xf numFmtId="0" fontId="7" fillId="9" borderId="16" xfId="0" applyNumberFormat="1" applyFont="1" applyFill="1" applyBorder="1"/>
    <x:xf numFmtId="0" fontId="7" fillId="9" borderId="17" xfId="0" applyNumberFormat="1" applyFont="1" applyFill="1" applyBorder="1"/>
    <x:xf numFmtId="201" fontId="0" fillId="0" borderId="16" xfId="0" applyNumberFormat="1" applyFont="1" applyFill="1" applyBorder="1"/>
    <x:xf numFmtId="201" fontId="7" fillId="9" borderId="17" xfId="0" applyNumberFormat="1" applyFont="1" applyFill="1" applyBorder="1"/>
    <x:xf numFmtId="201" fontId="0" fillId="0" borderId="16" xfId="0" applyNumberFormat="1" applyFont="1" applyFill="1" applyBorder="1" applyAlignment="1">
      <x:alignment horizontal="right"/>
    </x:xf>
    <x:xf numFmtId="201" fontId="7" fillId="9" borderId="17" xfId="0" applyNumberFormat="1" applyFont="1" applyFill="1" applyBorder="1" applyAlignment="1">
      <x:alignment horizontal="right"/>
    </x:xf>
    <x:xf numFmtId="0" fontId="0" fillId="0" borderId="16"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9acbeac79c41a5" /><Relationship Type="http://schemas.openxmlformats.org/officeDocument/2006/relationships/theme" Target="/xl/theme/theme1.xml" Id="R1a0fd586f4a546b3" /><Relationship Type="http://schemas.openxmlformats.org/officeDocument/2006/relationships/sharedStrings" Target="/xl/sharedStrings.xml" Id="R282b16632bb446f7" /><Relationship Type="http://schemas.openxmlformats.org/officeDocument/2006/relationships/worksheet" Target="/xl/worksheets/sheet1.xml" Id="Rf401b40b5a974fdc" /><Relationship Type="http://schemas.openxmlformats.org/officeDocument/2006/relationships/worksheet" Target="/xl/worksheets/sheet2.xml" Id="Rcb3701f5b7834eab" /></Relationships>
</file>

<file path=xl/tables/table1.xml><?xml version="1.0" encoding="utf-8"?>
<x:table xmlns:x="http://schemas.openxmlformats.org/spreadsheetml/2006/main" id="1" name="DuLieuLoiTable" displayName="DuLieuLoiTable" ref="A1:F21" headerRowCount="1" totalsRowCount="0" totalsRowShown="0">
  <x:autoFilter ref="A1:F21"/>
  <x:tableColumns count="6">
    <x:tableColumn id="1" name="Người ứng"/>
    <x:tableColumn id="2" name="Ngày chi"/>
    <x:tableColumn id="3" name="Nội dung chi"/>
    <x:tableColumn id="4" name="Số tiền (VND)"/>
    <x:tableColumn id="5" name="Nhóm chi"/>
    <x:tableColumn id="6"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17c7420153492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30" hidden="0" customWidth="1"/>
    <x:col min="4" max="4" width="18" hidden="0" customWidth="1"/>
    <x:col min="5" max="5" width="18" hidden="0" customWidth="1"/>
    <x:col min="6" max="6" width="28" hidden="0" customWidth="1"/>
  </x:cols>
  <x:sheetData>
    <x:row r="1" ht="30" customHeight="1">
      <x:c r="A1" s="12" t="str">
        <x:v>Người ứng</x:v>
      </x:c>
      <x:c r="B1" s="13" t="str">
        <x:v>Ngày chi</x:v>
      </x:c>
      <x:c r="C1" s="13" t="str">
        <x:v>Nội dung chi</x:v>
      </x:c>
      <x:c r="D1" s="13" t="str">
        <x:v>Số tiền (VND)</x:v>
      </x:c>
      <x:c r="E1" s="13" t="str">
        <x:v>Nhóm chi</x:v>
      </x:c>
      <x:c r="F1" s="14" t="str">
        <x:v>Ghi chú</x:v>
      </x:c>
    </x:row>
    <x:row r="2" ht="23" customHeight="1">
      <x:c r="A2" s="38" t="str">
        <x:v>nguyễn văn an</x:v>
      </x:c>
      <x:c r="B2" s="39" t="str">
        <x:v>1/3/2025</x:v>
      </x:c>
      <x:c r="C2" s="40" t="str">
        <x:v>Ăn trưa nhóm dự án</x:v>
      </x:c>
      <x:c r="D2" s="34" t="n">
        <x:v>850000</x:v>
      </x:c>
      <x:c r="E2" s="40" t="str">
        <x:v>Ăn uống</x:v>
      </x:c>
      <x:c r="F2" s="48" t="str">
        <x:v>Hóa đơn giấy</x:v>
      </x:c>
    </x:row>
    <x:row r="3" ht="23" customHeight="1">
      <x:c r="A3" s="41" t="str">
        <x:v>NGUYỄN VĂN AN</x:v>
      </x:c>
      <x:c r="B3" s="42" t="str">
        <x:v>02-03-2025</x:v>
      </x:c>
      <x:c r="C3" s="43" t="str">
        <x:v>Taxi ra sân bay</x:v>
      </x:c>
      <x:c r="D3" s="35" t="n">
        <x:v>1250000</x:v>
      </x:c>
      <x:c r="E3" s="43" t="str">
        <x:v>DI CHUYỂN</x:v>
      </x:c>
      <x:c r="F3" s="49" t="str">
        <x:v>chưa có hóa đơn</x:v>
      </x:c>
    </x:row>
    <x:row r="4" ht="23" customHeight="1">
      <x:c r="A4" s="41" t="str">
        <x:v>  Nguyễn   Văn An  </x:v>
      </x:c>
      <x:c r="B4" s="42" t="str">
        <x:v>2025/03/03</x:v>
      </x:c>
      <x:c r="C4" s="44" t="str">
        <x:v>Mua văn phòng phẩm</x:v>
      </x:c>
      <x:c r="D4" s="36" t="n">
        <x:v>320000</x:v>
      </x:c>
      <x:c r="E4" s="44" t="str">
        <x:v>văn phòng</x:v>
      </x:c>
      <x:c r="F4" s="50" t="str">
        <x:v>  thanh toán tiền mặt  </x:v>
      </x:c>
    </x:row>
    <x:row r="5" ht="23" customHeight="1">
      <x:c r="A5" s="41" t="str">
        <x:v>NguyÔn V¨n An</x:v>
      </x:c>
      <x:c r="B5" s="42" t="str">
        <x:v>04.03.2025</x:v>
      </x:c>
      <x:c r="C5" s="43" t="str">
        <x:v>Đặt cọc phòng họp</x:v>
      </x:c>
      <x:c r="D5" s="35" t="n">
        <x:v>2400000</x:v>
      </x:c>
      <x:c r="E5" s="43" t="str">
        <x:v>Thuê địa điểm</x:v>
      </x:c>
      <x:c r="F5" s="49" t="str">
        <x:v>CK</x:v>
      </x:c>
    </x:row>
    <x:row r="6" ht="23" customHeight="1">
      <x:c r="A6" s="41" t="str">
        <x:v>trần thị bình</x:v>
      </x:c>
      <x:c r="B6" s="42" t="str">
        <x:v>5-3-25</x:v>
      </x:c>
      <x:c r="C6" s="44" t="str">
        <x:v>Nước uống workshop</x:v>
      </x:c>
      <x:c r="D6" s="36" t="n">
        <x:v>450000</x:v>
      </x:c>
      <x:c r="E6" s="44" t="str">
        <x:v>ăn uống</x:v>
      </x:c>
      <x:c r="F6" s="50" t="str">
        <x:v>đủ hóa đơn</x:v>
      </x:c>
    </x:row>
    <x:row r="7" ht="23" customHeight="1">
      <x:c r="A7" s="41" t="str">
        <x:v>TRẦN THỊ BÌNH</x:v>
      </x:c>
      <x:c r="B7" s="42" t="str">
        <x:v>06/03/25</x:v>
      </x:c>
      <x:c r="C7" s="43" t="str">
        <x:v>Vé máy bay công tác</x:v>
      </x:c>
      <x:c r="D7" s="35" t="n">
        <x:v>1800000</x:v>
      </x:c>
      <x:c r="E7" s="43" t="str">
        <x:v>Di chuyển</x:v>
      </x:c>
      <x:c r="F7" s="49" t="str">
        <x:v>vé điện tử</x:v>
      </x:c>
    </x:row>
    <x:row r="8" ht="23" customHeight="1">
      <x:c r="A8" s="41" t="str">
        <x:v>Trần  Thị Bình</x:v>
      </x:c>
      <x:c r="B8" s="42" t="str">
        <x:v>2025-03-07</x:v>
      </x:c>
      <x:c r="C8" s="44" t="str">
        <x:v>In tài liệu đào tạo</x:v>
      </x:c>
      <x:c r="D8" s="36" t="n">
        <x:v>980000</x:v>
      </x:c>
      <x:c r="E8" s="44" t="str">
        <x:v>VĂN PHÒNG</x:v>
      </x:c>
      <x:c r="F8" s="50" t="str">
        <x:v>HĐ VAT</x:v>
      </x:c>
    </x:row>
    <x:row r="9" ht="23" customHeight="1">
      <x:c r="A9" s="41" t="str">
        <x:v>TrÇn ThÞ B×nh</x:v>
      </x:c>
      <x:c r="B9" s="42" t="str">
        <x:v>08 Mar 2025</x:v>
      </x:c>
      <x:c r="C9" s="43" t="str">
        <x:v>Thuê thiết bị trình chiếu</x:v>
      </x:c>
      <x:c r="D9" s="35" t="n">
        <x:v>1100000</x:v>
      </x:c>
      <x:c r="E9" s="43" t="str">
        <x:v>Thiết bị</x:v>
      </x:c>
      <x:c r="F9" s="49" t="str">
        <x:v>chờ duyệt</x:v>
      </x:c>
    </x:row>
    <x:row r="10" ht="23" customHeight="1">
      <x:c r="A10" s="41" t="str">
        <x:v>lê hoàng minh</x:v>
      </x:c>
      <x:c r="B10" s="42" t="str">
        <x:v>9 tháng 3 2025</x:v>
      </x:c>
      <x:c r="C10" s="44" t="str">
        <x:v>Khách sạn 2 đêm</x:v>
      </x:c>
      <x:c r="D10" s="36" t="n">
        <x:v>2750000</x:v>
      </x:c>
      <x:c r="E10" s="44" t="str">
        <x:v>Lưu trú</x:v>
      </x:c>
      <x:c r="F10" s="50" t="str">
        <x:v>booking online</x:v>
      </x:c>
    </x:row>
    <x:row r="11" ht="23" customHeight="1">
      <x:c r="A11" s="41" t="str">
        <x:v>LÊ HOÀNG MINH</x:v>
      </x:c>
      <x:c r="B11" s="42" t="str">
        <x:v>10/3/2025</x:v>
      </x:c>
      <x:c r="C11" s="43" t="str">
        <x:v>Tiếp khách</x:v>
      </x:c>
      <x:c r="D11" s="35" t="n">
        <x:v>610000</x:v>
      </x:c>
      <x:c r="E11" s="43" t="str">
        <x:v>Ăn Uống</x:v>
      </x:c>
      <x:c r="F11" s="49" t="str">
        <x:v>Hóa đơn VAT</x:v>
      </x:c>
    </x:row>
    <x:row r="12" ht="23" customHeight="1">
      <x:c r="A12" s="41" t="str">
        <x:v> Lê Hoàng  Minh </x:v>
      </x:c>
      <x:c r="B12" s="42" t="str">
        <x:v>11-03-25</x:v>
      </x:c>
      <x:c r="C12" s="44" t="str">
        <x:v>Mua ổ cứng dự phòng</x:v>
      </x:c>
      <x:c r="D12" s="36" t="n">
        <x:v>1050000</x:v>
      </x:c>
      <x:c r="E12" s="44" t="str">
        <x:v>thiết bị</x:v>
      </x:c>
      <x:c r="F12" s="50" t="str">
        <x:v>bảo hành 12 tháng</x:v>
      </x:c>
    </x:row>
    <x:row r="13" ht="23" customHeight="1">
      <x:c r="A13" s="41" t="str">
        <x:v>Lª Hoµng Minh</x:v>
      </x:c>
      <x:c r="B13" s="42" t="str">
        <x:v>2025.03.12</x:v>
      </x:c>
      <x:c r="C13" s="43" t="str">
        <x:v>Phí vận chuyển</x:v>
      </x:c>
      <x:c r="D13" s="35" t="n">
        <x:v>275000</x:v>
      </x:c>
      <x:c r="E13" s="43" t="str">
        <x:v>Vận chuyển</x:v>
      </x:c>
      <x:c r="F13" s="49" t="str">
        <x:v>COD</x:v>
      </x:c>
    </x:row>
    <x:row r="14" ht="23" customHeight="1">
      <x:c r="A14" s="41" t="str">
        <x:v>phạm gia hân</x:v>
      </x:c>
      <x:c r="B14" s="42" t="str">
        <x:v>13/03/2025</x:v>
      </x:c>
      <x:c r="C14" s="44" t="str">
        <x:v>Quà tặng khách hàng</x:v>
      </x:c>
      <x:c r="D14" s="36" t="n">
        <x:v>730000</x:v>
      </x:c>
      <x:c r="E14" s="44" t="str">
        <x:v>Đối ngoại</x:v>
      </x:c>
      <x:c r="F14" s="50" t="str">
        <x:v>không VAT</x:v>
      </x:c>
    </x:row>
    <x:row r="15" ht="23" customHeight="1">
      <x:c r="A15" s="41" t="str">
        <x:v>PHẠM GIA HÂN</x:v>
      </x:c>
      <x:c r="B15" s="42" t="str">
        <x:v>14-3-2025</x:v>
      </x:c>
      <x:c r="C15" s="43" t="str">
        <x:v>Thuê xe đi tỉnh</x:v>
      </x:c>
      <x:c r="D15" s="35" t="n">
        <x:v>1480000</x:v>
      </x:c>
      <x:c r="E15" s="43" t="str">
        <x:v>di chuyển</x:v>
      </x:c>
      <x:c r="F15" s="49" t="str">
        <x:v>đã chuyển khoản</x:v>
      </x:c>
    </x:row>
    <x:row r="16" ht="23" customHeight="1">
      <x:c r="A16" s="41" t="str">
        <x:v>Phạm  Gia Hân</x:v>
      </x:c>
      <x:c r="B16" s="42" t="str">
        <x:v>Mar 15, 2025</x:v>
      </x:c>
      <x:c r="C16" s="44" t="str">
        <x:v>Mua sim dữ liệu</x:v>
      </x:c>
      <x:c r="D16" s="36" t="n">
        <x:v>390000</x:v>
      </x:c>
      <x:c r="E16" s="44" t="str">
        <x:v>Viễn thông</x:v>
      </x:c>
      <x:c r="F16" s="50" t="str">
        <x:v>  hóa đơn điện tử</x:v>
      </x:c>
    </x:row>
    <x:row r="17" ht="23" customHeight="1">
      <x:c r="A17" s="41" t="str">
        <x:v>Ph¹m Gia H©n</x:v>
      </x:c>
      <x:c r="B17" s="42" t="str">
        <x:v>16/03/25</x:v>
      </x:c>
      <x:c r="C17" s="43" t="str">
        <x:v>Tiệc tổng kết dự án</x:v>
      </x:c>
      <x:c r="D17" s="35" t="n">
        <x:v>2150000</x:v>
      </x:c>
      <x:c r="E17" s="43" t="str">
        <x:v>ĂN UỐNG</x:v>
      </x:c>
      <x:c r="F17" s="49" t="str">
        <x:v>chia sẻ hóa đơn</x:v>
      </x:c>
    </x:row>
    <x:row r="18" ht="23" customHeight="1">
      <x:c r="A18" s="41" t="str">
        <x:v>đỗ quốc khánh</x:v>
      </x:c>
      <x:c r="B18" s="42" t="str">
        <x:v>2025/03/17</x:v>
      </x:c>
      <x:c r="C18" s="44" t="str">
        <x:v>Mua vật tư sự kiện</x:v>
      </x:c>
      <x:c r="D18" s="36" t="n">
        <x:v>560000</x:v>
      </x:c>
      <x:c r="E18" s="44" t="str">
        <x:v>Sự kiện</x:v>
      </x:c>
      <x:c r="F18" s="50" t="str">
        <x:v>phiếu bán lẻ</x:v>
      </x:c>
    </x:row>
    <x:row r="19" ht="23" customHeight="1">
      <x:c r="A19" s="41" t="str">
        <x:v>ĐỖ QUỐC KHÁNH</x:v>
      </x:c>
      <x:c r="B19" s="42" t="str">
        <x:v>18.03.2025</x:v>
      </x:c>
      <x:c r="C19" s="43" t="str">
        <x:v>Thuê âm thanh</x:v>
      </x:c>
      <x:c r="D19" s="35" t="n">
        <x:v>1320000</x:v>
      </x:c>
      <x:c r="E19" s="43" t="str">
        <x:v>thiết bị</x:v>
      </x:c>
      <x:c r="F19" s="49" t="str">
        <x:v>đặt cọc 50%</x:v>
      </x:c>
    </x:row>
    <x:row r="20" ht="23" customHeight="1">
      <x:c r="A20" s="41" t="str">
        <x:v>  Đỗ Quốc  Khánh</x:v>
      </x:c>
      <x:c r="B20" s="42" t="str">
        <x:v>19-03-2025</x:v>
      </x:c>
      <x:c r="C20" s="44" t="str">
        <x:v>Chi phí quảng cáo</x:v>
      </x:c>
      <x:c r="D20" s="36" t="n">
        <x:v>890000</x:v>
      </x:c>
      <x:c r="E20" s="44" t="str">
        <x:v>MARKETING</x:v>
      </x:c>
      <x:c r="F20" s="50" t="str">
        <x:v>Meta Ads</x:v>
      </x:c>
    </x:row>
    <x:row r="21" ht="23" customHeight="1">
      <x:c r="A21" s="45" t="str">
        <x:v>§ç Quèc Kh¸nh</x:v>
      </x:c>
      <x:c r="B21" s="46" t="str">
        <x:v>20/3/25</x:v>
      </x:c>
      <x:c r="C21" s="47" t="str">
        <x:v>Thuê gian hàng triển lãm</x:v>
      </x:c>
      <x:c r="D21" s="37" t="n">
        <x:v>3200000</x:v>
      </x:c>
      <x:c r="E21" s="47" t="str">
        <x:v>Sự kiện</x:v>
      </x:c>
      <x:c r="F21" s="51" t="str">
        <x:v>hợp đồng số 03</x:v>
      </x:c>
    </x:row>
  </x:sheetData>
  <x:pageMargins left="0.7" right="0.7" top="0.75" bottom="0.75" header="0.3" footer="0.3"/>
  <x:tableParts count="1">
    <x:tablePart xmlns:r="http://schemas.openxmlformats.org/officeDocument/2006/relationships" r:id="R3217c7420153492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4" hidden="0" customWidth="1"/>
    <x:col min="4" max="4" width="34" hidden="0" customWidth="1"/>
    <x:col min="5" max="5" width="20" hidden="0" customWidth="1"/>
    <x:col min="6" max="6" width="8" hidden="0" customWidth="1"/>
  </x:cols>
  <x:sheetData>
    <x:row r="1" ht="38" customHeight="1">
      <x:c r="A1" s="54" t="str">
        <x:v>HƯỚNG DẪN DEMO GEMINI TRONG GOOGLE SHEETS</x:v>
      </x:c>
      <x:c r="B1" s="54"/>
      <x:c r="C1" s="54"/>
      <x:c r="D1" s="54"/>
      <x:c r="E1" s="54"/>
      <x:c r="F1" s="54"/>
    </x:row>
    <x:row r="3" ht="26" customHeight="1">
      <x:c r="A3" s="57" t="str">
        <x:v>1. Chuẩn hóa tên và ngày tháng</x:v>
      </x:c>
      <x:c r="B3" s="57"/>
      <x:c r="C3" s="57"/>
      <x:c r="D3" s="57"/>
      <x:c r="E3" s="57"/>
      <x:c r="F3" s="57"/>
    </x:row>
    <x:row r="4" ht="31" customHeight="1">
      <x:c r="A4" s="77" t="str">
        <x:v>Bôi đen vùng A2:B21 trong tab ‘Dữ liệu lỗi’, mở Gemini và nhập:
“Hãy cho tôi công thức để viết hoa chữ cái đầu tiên của tất cả các tên trong cột A, sửa các tên bị lỗi phông chữ/encoding, xóa khoảng trắng thừa, và chuẩn hóa ngày tháng ở cột B về định dạng dd/mm/yyyy.”</x:v>
      </x:c>
      <x:c r="B4" s="78"/>
      <x:c r="C4" s="78"/>
      <x:c r="D4" s="78"/>
      <x:c r="E4" s="78"/>
      <x:c r="F4" s="79"/>
    </x:row>
    <x:row r="5" ht="31" customHeight="1">
      <x:c r="A5" s="80"/>
      <x:c r="B5" s="81"/>
      <x:c r="C5" s="81"/>
      <x:c r="D5" s="81"/>
      <x:c r="E5" s="81"/>
      <x:c r="F5" s="82"/>
    </x:row>
    <x:row r="6" ht="31" customHeight="1">
      <x:c r="A6" s="83"/>
      <x:c r="B6" s="84"/>
      <x:c r="C6" s="84"/>
      <x:c r="D6" s="84"/>
      <x:c r="E6" s="84"/>
      <x:c r="F6" s="85"/>
    </x:row>
    <x:row r="8" ht="26" customHeight="1">
      <x:c r="A8" s="57" t="str">
        <x:v>2. Tổng hợp và lọc chi tiêu</x:v>
      </x:c>
      <x:c r="B8" s="57"/>
      <x:c r="C8" s="57"/>
      <x:c r="D8" s="57"/>
      <x:c r="E8" s="57"/>
      <x:c r="F8" s="57"/>
    </x:row>
    <x:row r="9" ht="31" customHeight="1">
      <x:c r="A9" s="77" t="str">
        <x:v>Bôi đen toàn bộ bảng A1:F21 trong tab ‘Dữ liệu lỗi’, mở Gemini và nhập:
“Dựa vào bảng dữ liệu này, hãy chuẩn hóa các biến thể tên về cùng một người, thống kê tổng số tiền mà mỗi người đã ứng ra, sau đó lọc riêng các khoản chi có giá trị trên 1 triệu đồng.”</x:v>
      </x:c>
      <x:c r="B9" s="78"/>
      <x:c r="C9" s="78"/>
      <x:c r="D9" s="78"/>
      <x:c r="E9" s="78"/>
      <x:c r="F9" s="79"/>
    </x:row>
    <x:row r="10" ht="31" customHeight="1">
      <x:c r="A10" s="80"/>
      <x:c r="B10" s="81"/>
      <x:c r="C10" s="81"/>
      <x:c r="D10" s="81"/>
      <x:c r="E10" s="81"/>
      <x:c r="F10" s="82"/>
    </x:row>
    <x:row r="11" ht="31" customHeight="1">
      <x:c r="A11" s="83"/>
      <x:c r="B11" s="84"/>
      <x:c r="C11" s="84"/>
      <x:c r="D11" s="84"/>
      <x:c r="E11" s="84"/>
      <x:c r="F11" s="85"/>
    </x:row>
    <x:row r="13">
      <x:c r="A13" s="89" t="str">
        <x:v>Đáp án đối chiếu sau khi chuẩn hóa</x:v>
      </x:c>
      <x:c r="B13" s="89"/>
      <x:c r="D13" s="89" t="str">
        <x:v>Chỉ số kiểm tra nhanh</x:v>
      </x:c>
      <x:c r="E13" s="89"/>
    </x:row>
    <x:row r="14">
      <x:c r="A14" s="92" t="str">
        <x:v>Người ứng chuẩn</x:v>
      </x:c>
      <x:c r="B14" s="92" t="str">
        <x:v>Tổng tiền (VND)</x:v>
      </x:c>
      <x:c r="D14" s="92" t="str">
        <x:v>Chỉ số</x:v>
      </x:c>
      <x:c r="E14" s="92" t="str">
        <x:v>Kết quả đúng</x:v>
      </x:c>
    </x:row>
    <x:row r="15">
      <x:c r="A15" s="93" t="str">
        <x:v>Nguyễn Văn An</x:v>
      </x:c>
      <x:c r="B15" s="99" t="n">
        <x:f>SUM('Dữ liệu lỗi'!$D$2:$D$5)</x:f>
        <x:v>4820000</x:v>
      </x:c>
      <x:c r="D15" s="93" t="str">
        <x:v>Số khoản trên 1 triệu</x:v>
      </x:c>
      <x:c r="E15" s="101" t="n">
        <x:f>COUNTIF('Dữ liệu lỗi'!$D$2:$D$21,"&gt;1000000")</x:f>
        <x:v>10</x:v>
      </x:c>
    </x:row>
    <x:row r="16">
      <x:c r="A16" s="93" t="str">
        <x:v>Trần Thị Bình</x:v>
      </x:c>
      <x:c r="B16" s="99" t="n">
        <x:f>SUM('Dữ liệu lỗi'!$D$6:$D$9)</x:f>
        <x:v>4330000</x:v>
      </x:c>
      <x:c r="D16" s="93" t="str">
        <x:v>Tổng tiền các khoản trên 1 triệu</x:v>
      </x:c>
      <x:c r="E16" s="99" t="n">
        <x:f>SUMIF('Dữ liệu lỗi'!$D$2:$D$21,"&gt;1000000",'Dữ liệu lỗi'!$D$2:$D$21)</x:f>
        <x:v>18500000</x:v>
      </x:c>
    </x:row>
    <x:row r="17">
      <x:c r="A17" s="93" t="str">
        <x:v>Lê Hoàng Minh</x:v>
      </x:c>
      <x:c r="B17" s="99" t="n">
        <x:f>SUM('Dữ liệu lỗi'!$D$10:$D$13)</x:f>
        <x:v>4685000</x:v>
      </x:c>
      <x:c r="D17" s="93" t="str">
        <x:v>Tổng số dòng dữ liệu</x:v>
      </x:c>
      <x:c r="E17" s="101" t="n">
        <x:f>COUNTA('Dữ liệu lỗi'!$A$2:$A$21)</x:f>
        <x:v>20</x:v>
      </x:c>
    </x:row>
    <x:row r="18">
      <x:c r="A18" s="93" t="str">
        <x:v>Phạm Gia Hân</x:v>
      </x:c>
      <x:c r="B18" s="99" t="n">
        <x:f>SUM('Dữ liệu lỗi'!$D$14:$D$17)</x:f>
        <x:v>4750000</x:v>
      </x:c>
    </x:row>
    <x:row r="19">
      <x:c r="A19" s="93" t="str">
        <x:v>Đỗ Quốc Khánh</x:v>
      </x:c>
      <x:c r="B19" s="99" t="n">
        <x:f>SUM('Dữ liệu lỗi'!$D$18:$D$21)</x:f>
        <x:v>5970000</x:v>
      </x:c>
    </x:row>
    <x:row r="20">
      <x:c r="A20" s="96" t="str">
        <x:v>TỔNG CỘNG</x:v>
      </x:c>
      <x:c r="B20" s="100" t="n">
        <x:f>SUM('Dữ liệu lỗi'!$D$2:$D$21)</x:f>
        <x:v>24555000</x:v>
      </x:c>
    </x:row>
  </x:sheetData>
  <x:mergeCells>
    <x:mergeCell ref="A1:F1"/>
    <x:mergeCell ref="A3:F3"/>
    <x:mergeCell ref="A4:F6"/>
    <x:mergeCell ref="A8:F8"/>
    <x:mergeCell ref="A9:F11"/>
    <x:mergeCell ref="A13:B13"/>
    <x:mergeCell ref="D13:E13"/>
  </x:mergeCells>
  <x:pageMargins left="0.7" right="0.7" top="0.75" bottom="0.75" header="0.3" footer="0.3"/>
</x:worksheet>
</file>